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asan AGUSTU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b val="1"/>
      <sz val="9"/>
    </font>
    <font>
      <name val="Arial"/>
      <sz val="8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E6E6"/>
        <bgColor rgb="00FFE6E6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FFFFFF"/>
        <sz val="9"/>
      </font>
      <fill>
        <patternFill patternType="solid">
          <fgColor rgb="00FF0000"/>
          <bgColor rgb="00FF0000"/>
        </patternFill>
      </fill>
    </dxf>
    <dxf>
      <font>
        <name val="Arial"/>
        <b val="1"/>
        <color rgb="00FFFFFF"/>
        <sz val="9"/>
      </font>
      <fill>
        <patternFill patternType="solid">
          <fgColor rgb="0000B050"/>
          <bgColor rgb="0000B050"/>
        </patternFill>
      </fill>
    </dxf>
    <dxf>
      <font>
        <name val="Arial"/>
        <b val="1"/>
        <sz val="9"/>
      </font>
      <fill>
        <patternFill patternType="solid">
          <fgColor rgb="00FFFF00"/>
          <bgColor rgb="00FFFF00"/>
        </patternFill>
      </fill>
    </dxf>
    <dxf>
      <font>
        <name val="Arial"/>
        <b val="1"/>
        <color rgb="00FFFFFF"/>
        <sz val="9"/>
      </font>
      <fill>
        <patternFill patternType="solid">
          <fgColor rgb="0000B0F0"/>
          <bgColor rgb="0000B0F0"/>
        </patternFill>
      </fill>
    </dxf>
    <dxf>
      <font>
        <name val="Arial"/>
        <b val="1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4.2" customWidth="1" min="34" max="34"/>
    <col width="4.2" customWidth="1" min="35" max="35"/>
    <col width="4.2" customWidth="1" min="36" max="36"/>
  </cols>
  <sheetData>
    <row r="1" ht="24" customHeight="1">
      <c r="A1" s="1" t="inlineStr">
        <is>
          <t>DAFTAR DINASAN PEGAWAI</t>
        </is>
      </c>
    </row>
    <row r="2" ht="20" customHeight="1">
      <c r="A2" s="2" t="inlineStr">
        <is>
          <t>KUPT RESOR STL 1.21 BOGOR</t>
        </is>
      </c>
    </row>
    <row r="3">
      <c r="A3" s="3" t="inlineStr">
        <is>
          <t>NO</t>
        </is>
      </c>
      <c r="B3" s="3" t="inlineStr">
        <is>
          <t>NAMA</t>
        </is>
      </c>
      <c r="C3" s="4" t="inlineStr">
        <is>
          <t>AGUSTUS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3" t="inlineStr">
        <is>
          <t>TOTAL</t>
        </is>
      </c>
      <c r="AI3" s="5" t="n"/>
      <c r="AJ3" s="5" t="n"/>
    </row>
    <row r="4" ht="55" customHeight="1">
      <c r="A4" s="5" t="n"/>
      <c r="B4" s="5" t="n"/>
      <c r="C4" s="6" t="inlineStr">
        <is>
          <t>Sabtu</t>
        </is>
      </c>
      <c r="D4" s="7" t="inlineStr">
        <is>
          <t>Minggu</t>
        </is>
      </c>
      <c r="E4" s="6" t="inlineStr">
        <is>
          <t>Senin</t>
        </is>
      </c>
      <c r="F4" s="6" t="inlineStr">
        <is>
          <t>Selasa</t>
        </is>
      </c>
      <c r="G4" s="6" t="inlineStr">
        <is>
          <t>Rabu</t>
        </is>
      </c>
      <c r="H4" s="6" t="inlineStr">
        <is>
          <t>Kamis</t>
        </is>
      </c>
      <c r="I4" s="6" t="inlineStr">
        <is>
          <t>Jumat</t>
        </is>
      </c>
      <c r="J4" s="6" t="inlineStr">
        <is>
          <t>Sabtu</t>
        </is>
      </c>
      <c r="K4" s="7" t="inlineStr">
        <is>
          <t>Minggu</t>
        </is>
      </c>
      <c r="L4" s="6" t="inlineStr">
        <is>
          <t>Senin</t>
        </is>
      </c>
      <c r="M4" s="6" t="inlineStr">
        <is>
          <t>Selasa</t>
        </is>
      </c>
      <c r="N4" s="6" t="inlineStr">
        <is>
          <t>Rabu</t>
        </is>
      </c>
      <c r="O4" s="6" t="inlineStr">
        <is>
          <t>Kamis</t>
        </is>
      </c>
      <c r="P4" s="6" t="inlineStr">
        <is>
          <t>Jumat</t>
        </is>
      </c>
      <c r="Q4" s="6" t="inlineStr">
        <is>
          <t>Sabtu</t>
        </is>
      </c>
      <c r="R4" s="7" t="inlineStr">
        <is>
          <t>Minggu</t>
        </is>
      </c>
      <c r="S4" s="6" t="inlineStr">
        <is>
          <t>Senin</t>
        </is>
      </c>
      <c r="T4" s="6" t="inlineStr">
        <is>
          <t>Selasa</t>
        </is>
      </c>
      <c r="U4" s="6" t="inlineStr">
        <is>
          <t>Rabu</t>
        </is>
      </c>
      <c r="V4" s="6" t="inlineStr">
        <is>
          <t>Kamis</t>
        </is>
      </c>
      <c r="W4" s="6" t="inlineStr">
        <is>
          <t>Jumat</t>
        </is>
      </c>
      <c r="X4" s="6" t="inlineStr">
        <is>
          <t>Sabtu</t>
        </is>
      </c>
      <c r="Y4" s="7" t="inlineStr">
        <is>
          <t>Minggu</t>
        </is>
      </c>
      <c r="Z4" s="6" t="inlineStr">
        <is>
          <t>Senin</t>
        </is>
      </c>
      <c r="AA4" s="6" t="inlineStr">
        <is>
          <t>Selasa</t>
        </is>
      </c>
      <c r="AB4" s="6" t="inlineStr">
        <is>
          <t>Rabu</t>
        </is>
      </c>
      <c r="AC4" s="6" t="inlineStr">
        <is>
          <t>Kamis</t>
        </is>
      </c>
      <c r="AD4" s="6" t="inlineStr">
        <is>
          <t>Jumat</t>
        </is>
      </c>
      <c r="AE4" s="6" t="inlineStr">
        <is>
          <t>Sabtu</t>
        </is>
      </c>
      <c r="AF4" s="7" t="inlineStr">
        <is>
          <t>Minggu</t>
        </is>
      </c>
      <c r="AG4" s="6" t="inlineStr">
        <is>
          <t>Senin</t>
        </is>
      </c>
      <c r="AH4" s="8" t="inlineStr">
        <is>
          <t>L</t>
        </is>
      </c>
      <c r="AI4" s="3" t="inlineStr">
        <is>
          <t>P</t>
        </is>
      </c>
      <c r="AJ4" s="9" t="inlineStr">
        <is>
          <t>CT</t>
        </is>
      </c>
    </row>
    <row r="5" ht="20" customHeight="1">
      <c r="A5" s="5" t="n"/>
      <c r="B5" s="5" t="n"/>
      <c r="C5" s="3" t="n">
        <v>1</v>
      </c>
      <c r="D5" s="10" t="n">
        <v>2</v>
      </c>
      <c r="E5" s="3" t="n">
        <v>3</v>
      </c>
      <c r="F5" s="3" t="n">
        <v>4</v>
      </c>
      <c r="G5" s="3" t="n">
        <v>5</v>
      </c>
      <c r="H5" s="3" t="n">
        <v>6</v>
      </c>
      <c r="I5" s="3" t="n">
        <v>7</v>
      </c>
      <c r="J5" s="3" t="n">
        <v>8</v>
      </c>
      <c r="K5" s="10" t="n">
        <v>9</v>
      </c>
      <c r="L5" s="3" t="n">
        <v>10</v>
      </c>
      <c r="M5" s="3" t="n">
        <v>11</v>
      </c>
      <c r="N5" s="3" t="n">
        <v>12</v>
      </c>
      <c r="O5" s="3" t="n">
        <v>13</v>
      </c>
      <c r="P5" s="3" t="n">
        <v>14</v>
      </c>
      <c r="Q5" s="3" t="n">
        <v>15</v>
      </c>
      <c r="R5" s="10" t="n">
        <v>16</v>
      </c>
      <c r="S5" s="3" t="n">
        <v>17</v>
      </c>
      <c r="T5" s="3" t="n">
        <v>18</v>
      </c>
      <c r="U5" s="3" t="n">
        <v>19</v>
      </c>
      <c r="V5" s="3" t="n">
        <v>20</v>
      </c>
      <c r="W5" s="3" t="n">
        <v>21</v>
      </c>
      <c r="X5" s="3" t="n">
        <v>22</v>
      </c>
      <c r="Y5" s="10" t="n">
        <v>23</v>
      </c>
      <c r="Z5" s="3" t="n">
        <v>24</v>
      </c>
      <c r="AA5" s="3" t="n">
        <v>25</v>
      </c>
      <c r="AB5" s="3" t="n">
        <v>26</v>
      </c>
      <c r="AC5" s="3" t="n">
        <v>27</v>
      </c>
      <c r="AD5" s="3" t="n">
        <v>28</v>
      </c>
      <c r="AE5" s="3" t="n">
        <v>29</v>
      </c>
      <c r="AF5" s="10" t="n">
        <v>30</v>
      </c>
      <c r="AG5" s="3" t="n">
        <v>31</v>
      </c>
      <c r="AH5" s="5" t="n"/>
      <c r="AI5" s="5" t="n"/>
      <c r="AJ5" s="5" t="n"/>
    </row>
    <row r="6" ht="28" customHeight="1">
      <c r="A6" s="3" t="n">
        <v>1</v>
      </c>
      <c r="B6" s="11" t="inlineStr">
        <is>
          <t>FURQON SUSILO WARDOYO
NIPP : 64465</t>
        </is>
      </c>
      <c r="C6" s="3" t="inlineStr">
        <is>
          <t>P</t>
        </is>
      </c>
      <c r="D6" s="3" t="inlineStr">
        <is>
          <t>P</t>
        </is>
      </c>
      <c r="E6" s="3" t="inlineStr">
        <is>
          <t>P</t>
        </is>
      </c>
      <c r="F6" s="3" t="inlineStr">
        <is>
          <t>P</t>
        </is>
      </c>
      <c r="G6" s="3" t="inlineStr">
        <is>
          <t>P</t>
        </is>
      </c>
      <c r="H6" s="3" t="inlineStr">
        <is>
          <t>P</t>
        </is>
      </c>
      <c r="I6" s="3" t="inlineStr">
        <is>
          <t>P</t>
        </is>
      </c>
      <c r="J6" s="3" t="inlineStr">
        <is>
          <t>P</t>
        </is>
      </c>
      <c r="K6" s="3" t="inlineStr">
        <is>
          <t>P</t>
        </is>
      </c>
      <c r="L6" s="3" t="inlineStr">
        <is>
          <t>P</t>
        </is>
      </c>
      <c r="M6" s="3" t="inlineStr">
        <is>
          <t>P</t>
        </is>
      </c>
      <c r="N6" s="3" t="inlineStr">
        <is>
          <t>P</t>
        </is>
      </c>
      <c r="O6" s="3" t="inlineStr">
        <is>
          <t>P</t>
        </is>
      </c>
      <c r="P6" s="3" t="inlineStr">
        <is>
          <t>P</t>
        </is>
      </c>
      <c r="Q6" s="3" t="inlineStr">
        <is>
          <t>P</t>
        </is>
      </c>
      <c r="R6" s="3" t="inlineStr">
        <is>
          <t>P</t>
        </is>
      </c>
      <c r="S6" s="3" t="inlineStr">
        <is>
          <t>P</t>
        </is>
      </c>
      <c r="T6" s="3" t="inlineStr">
        <is>
          <t>P</t>
        </is>
      </c>
      <c r="U6" s="3" t="inlineStr">
        <is>
          <t>P</t>
        </is>
      </c>
      <c r="V6" s="3" t="inlineStr">
        <is>
          <t>P</t>
        </is>
      </c>
      <c r="W6" s="3" t="inlineStr">
        <is>
          <t>P</t>
        </is>
      </c>
      <c r="X6" s="3" t="inlineStr">
        <is>
          <t>P</t>
        </is>
      </c>
      <c r="Y6" s="3" t="inlineStr">
        <is>
          <t>P</t>
        </is>
      </c>
      <c r="Z6" s="3" t="inlineStr">
        <is>
          <t>P</t>
        </is>
      </c>
      <c r="AA6" s="3" t="inlineStr">
        <is>
          <t>P</t>
        </is>
      </c>
      <c r="AB6" s="3" t="inlineStr">
        <is>
          <t>P</t>
        </is>
      </c>
      <c r="AC6" s="3" t="inlineStr">
        <is>
          <t>P</t>
        </is>
      </c>
      <c r="AD6" s="3" t="inlineStr">
        <is>
          <t>P</t>
        </is>
      </c>
      <c r="AE6" s="3" t="inlineStr">
        <is>
          <t>P</t>
        </is>
      </c>
      <c r="AF6" s="3" t="inlineStr">
        <is>
          <t>P</t>
        </is>
      </c>
      <c r="AG6" s="3" t="inlineStr">
        <is>
          <t>P</t>
        </is>
      </c>
      <c r="AH6" s="3">
        <f>COUNTIF(C6:AG6, "L")</f>
        <v/>
      </c>
      <c r="AI6" s="3">
        <f>COUNTIF(C6:AG6, "P")</f>
        <v/>
      </c>
      <c r="AJ6" s="3">
        <f>COUNTIF(C6:AG6, "CT")</f>
        <v/>
      </c>
    </row>
    <row r="7" ht="28" customHeight="1">
      <c r="A7" s="3" t="n">
        <v>2</v>
      </c>
      <c r="B7" s="11" t="inlineStr">
        <is>
          <t>SUTISNA
NIPP : 45677</t>
        </is>
      </c>
      <c r="C7" s="12" t="n"/>
      <c r="D7" s="12" t="n"/>
      <c r="E7" s="3" t="inlineStr">
        <is>
          <t>P</t>
        </is>
      </c>
      <c r="F7" s="12" t="n"/>
      <c r="G7" s="3" t="inlineStr">
        <is>
          <t>P</t>
        </is>
      </c>
      <c r="H7" s="12" t="n"/>
      <c r="I7" s="3" t="inlineStr">
        <is>
          <t>P</t>
        </is>
      </c>
      <c r="J7" s="3" t="inlineStr">
        <is>
          <t>P</t>
        </is>
      </c>
      <c r="K7" s="12" t="n"/>
      <c r="L7" s="3" t="inlineStr">
        <is>
          <t>P</t>
        </is>
      </c>
      <c r="M7" s="3" t="inlineStr">
        <is>
          <t>P</t>
        </is>
      </c>
      <c r="N7" s="3" t="inlineStr">
        <is>
          <t>P</t>
        </is>
      </c>
      <c r="O7" s="3" t="inlineStr">
        <is>
          <t>P</t>
        </is>
      </c>
      <c r="P7" s="3" t="inlineStr">
        <is>
          <t>P</t>
        </is>
      </c>
      <c r="Q7" s="3" t="inlineStr">
        <is>
          <t>P</t>
        </is>
      </c>
      <c r="R7" s="12" t="n"/>
      <c r="S7" s="3" t="inlineStr">
        <is>
          <t>P</t>
        </is>
      </c>
      <c r="T7" s="3" t="inlineStr">
        <is>
          <t>P</t>
        </is>
      </c>
      <c r="U7" s="3" t="inlineStr">
        <is>
          <t>P</t>
        </is>
      </c>
      <c r="V7" s="3" t="inlineStr">
        <is>
          <t>P</t>
        </is>
      </c>
      <c r="W7" s="12" t="n"/>
      <c r="X7" s="12" t="n"/>
      <c r="Y7" s="12" t="n"/>
      <c r="Z7" s="12" t="n"/>
      <c r="AA7" s="12" t="n"/>
      <c r="AB7" s="3" t="inlineStr">
        <is>
          <t>P</t>
        </is>
      </c>
      <c r="AC7" s="3" t="inlineStr">
        <is>
          <t>P</t>
        </is>
      </c>
      <c r="AD7" s="3" t="inlineStr">
        <is>
          <t>P</t>
        </is>
      </c>
      <c r="AE7" s="3" t="inlineStr">
        <is>
          <t>P</t>
        </is>
      </c>
      <c r="AF7" s="12" t="n"/>
      <c r="AG7" s="12" t="n"/>
      <c r="AH7" s="3">
        <f>COUNTIF(C7:AG7, "L")</f>
        <v/>
      </c>
      <c r="AI7" s="3">
        <f>COUNTIF(C7:AG7, "P")</f>
        <v/>
      </c>
      <c r="AJ7" s="3">
        <f>COUNTIF(C7:AG7, "CT")</f>
        <v/>
      </c>
    </row>
    <row r="8" ht="28" customHeight="1">
      <c r="A8" s="3" t="n">
        <v>3</v>
      </c>
      <c r="B8" s="11" t="inlineStr">
        <is>
          <t>YATIYO
NIPP : 49957</t>
        </is>
      </c>
      <c r="C8" s="3" t="inlineStr">
        <is>
          <t>P</t>
        </is>
      </c>
      <c r="D8" s="3" t="inlineStr">
        <is>
          <t>P</t>
        </is>
      </c>
      <c r="E8" s="3" t="inlineStr">
        <is>
          <t>P</t>
        </is>
      </c>
      <c r="F8" s="3" t="inlineStr">
        <is>
          <t>P</t>
        </is>
      </c>
      <c r="G8" s="3" t="inlineStr">
        <is>
          <t>P</t>
        </is>
      </c>
      <c r="H8" s="3" t="inlineStr">
        <is>
          <t>P</t>
        </is>
      </c>
      <c r="I8" s="3" t="inlineStr">
        <is>
          <t>P</t>
        </is>
      </c>
      <c r="J8" s="3" t="inlineStr">
        <is>
          <t>P</t>
        </is>
      </c>
      <c r="K8" s="3" t="inlineStr">
        <is>
          <t>P</t>
        </is>
      </c>
      <c r="L8" s="3" t="inlineStr">
        <is>
          <t>P</t>
        </is>
      </c>
      <c r="M8" s="3" t="inlineStr">
        <is>
          <t>P</t>
        </is>
      </c>
      <c r="N8" s="3" t="inlineStr">
        <is>
          <t>P</t>
        </is>
      </c>
      <c r="O8" s="12" t="n"/>
      <c r="P8" s="12" t="n"/>
      <c r="Q8" s="12" t="n"/>
      <c r="R8" s="3" t="inlineStr">
        <is>
          <t>P</t>
        </is>
      </c>
      <c r="S8" s="3" t="inlineStr">
        <is>
          <t>P</t>
        </is>
      </c>
      <c r="T8" s="12" t="n"/>
      <c r="U8" s="12" t="n"/>
      <c r="V8" s="12" t="n"/>
      <c r="W8" s="3" t="inlineStr">
        <is>
          <t>P</t>
        </is>
      </c>
      <c r="X8" s="3" t="inlineStr">
        <is>
          <t>P</t>
        </is>
      </c>
      <c r="Y8" s="3" t="inlineStr">
        <is>
          <t>P</t>
        </is>
      </c>
      <c r="Z8" s="3" t="inlineStr">
        <is>
          <t>P</t>
        </is>
      </c>
      <c r="AA8" s="3" t="inlineStr">
        <is>
          <t>P</t>
        </is>
      </c>
      <c r="AB8" s="3" t="inlineStr">
        <is>
          <t>P</t>
        </is>
      </c>
      <c r="AC8" s="12" t="n"/>
      <c r="AD8" s="12" t="n"/>
      <c r="AE8" s="12" t="n"/>
      <c r="AF8" s="12" t="n"/>
      <c r="AG8" s="12" t="n"/>
      <c r="AH8" s="3">
        <f>COUNTIF(C8:AG8, "L")</f>
        <v/>
      </c>
      <c r="AI8" s="3">
        <f>COUNTIF(C8:AG8, "P")</f>
        <v/>
      </c>
      <c r="AJ8" s="3">
        <f>COUNTIF(C8:AG8, "CT")</f>
        <v/>
      </c>
    </row>
    <row r="9" ht="28" customHeight="1">
      <c r="A9" s="3" t="n">
        <v>4</v>
      </c>
      <c r="B9" s="11" t="inlineStr">
        <is>
          <t>RAIHAN HERPIAN
NIPP : 75276</t>
        </is>
      </c>
      <c r="C9" s="3" t="inlineStr">
        <is>
          <t>P</t>
        </is>
      </c>
      <c r="D9" s="12" t="n"/>
      <c r="E9" s="3" t="inlineStr">
        <is>
          <t>P</t>
        </is>
      </c>
      <c r="F9" s="3" t="inlineStr">
        <is>
          <t>P</t>
        </is>
      </c>
      <c r="G9" s="3" t="inlineStr">
        <is>
          <t>P</t>
        </is>
      </c>
      <c r="H9" s="12" t="n"/>
      <c r="I9" s="12" t="n"/>
      <c r="J9" s="3" t="inlineStr">
        <is>
          <t>P</t>
        </is>
      </c>
      <c r="K9" s="12" t="n"/>
      <c r="L9" s="3" t="inlineStr">
        <is>
          <t>P</t>
        </is>
      </c>
      <c r="M9" s="3" t="inlineStr">
        <is>
          <t>P</t>
        </is>
      </c>
      <c r="N9" s="12" t="n"/>
      <c r="O9" s="3" t="inlineStr">
        <is>
          <t>P</t>
        </is>
      </c>
      <c r="P9" s="3" t="inlineStr">
        <is>
          <t>P</t>
        </is>
      </c>
      <c r="Q9" s="3" t="inlineStr">
        <is>
          <t>P</t>
        </is>
      </c>
      <c r="R9" s="12" t="n"/>
      <c r="S9" s="3" t="inlineStr">
        <is>
          <t>P</t>
        </is>
      </c>
      <c r="T9" s="12" t="n"/>
      <c r="U9" s="12" t="n"/>
      <c r="V9" s="12" t="n"/>
      <c r="W9" s="3" t="inlineStr">
        <is>
          <t>P</t>
        </is>
      </c>
      <c r="X9" s="12" t="n"/>
      <c r="Y9" s="3" t="inlineStr">
        <is>
          <t>P</t>
        </is>
      </c>
      <c r="Z9" s="12" t="n"/>
      <c r="AA9" s="12" t="n"/>
      <c r="AB9" s="3" t="inlineStr">
        <is>
          <t>P</t>
        </is>
      </c>
      <c r="AC9" s="12" t="n"/>
      <c r="AD9" s="3" t="inlineStr">
        <is>
          <t>P</t>
        </is>
      </c>
      <c r="AE9" s="12" t="n"/>
      <c r="AF9" s="12" t="n"/>
      <c r="AG9" s="12" t="n"/>
      <c r="AH9" s="3">
        <f>COUNTIF(C9:AG9, "L")</f>
        <v/>
      </c>
      <c r="AI9" s="3">
        <f>COUNTIF(C9:AG9, "P")</f>
        <v/>
      </c>
      <c r="AJ9" s="3">
        <f>COUNTIF(C9:AG9, "CT")</f>
        <v/>
      </c>
    </row>
    <row r="10" ht="28" customHeight="1">
      <c r="A10" s="3" t="n">
        <v>5</v>
      </c>
      <c r="B10" s="11" t="inlineStr">
        <is>
          <t>IWAN SETIAWAN
NIPP : 69810</t>
        </is>
      </c>
      <c r="C10" s="12" t="n"/>
      <c r="D10" s="3" t="inlineStr">
        <is>
          <t>P</t>
        </is>
      </c>
      <c r="E10" s="3" t="inlineStr">
        <is>
          <t>P</t>
        </is>
      </c>
      <c r="F10" s="12" t="n"/>
      <c r="G10" s="3" t="inlineStr">
        <is>
          <t>P</t>
        </is>
      </c>
      <c r="H10" s="3" t="inlineStr">
        <is>
          <t>P</t>
        </is>
      </c>
      <c r="I10" s="12" t="n"/>
      <c r="J10" s="3" t="inlineStr">
        <is>
          <t>P</t>
        </is>
      </c>
      <c r="K10" s="3" t="inlineStr">
        <is>
          <t>P</t>
        </is>
      </c>
      <c r="L10" s="3" t="inlineStr">
        <is>
          <t>P</t>
        </is>
      </c>
      <c r="M10" s="3" t="inlineStr">
        <is>
          <t>P</t>
        </is>
      </c>
      <c r="N10" s="3" t="inlineStr">
        <is>
          <t>P</t>
        </is>
      </c>
      <c r="O10" s="3" t="inlineStr">
        <is>
          <t>P</t>
        </is>
      </c>
      <c r="P10" s="3" t="inlineStr">
        <is>
          <t>P</t>
        </is>
      </c>
      <c r="Q10" s="12" t="n"/>
      <c r="R10" s="3" t="inlineStr">
        <is>
          <t>P</t>
        </is>
      </c>
      <c r="S10" s="12" t="n"/>
      <c r="T10" s="12" t="n"/>
      <c r="U10" s="3" t="inlineStr">
        <is>
          <t>P</t>
        </is>
      </c>
      <c r="V10" s="12" t="n"/>
      <c r="W10" s="12" t="n"/>
      <c r="X10" s="12" t="n"/>
      <c r="Y10" s="12" t="n"/>
      <c r="Z10" s="12" t="n"/>
      <c r="AA10" s="3" t="inlineStr">
        <is>
          <t>P</t>
        </is>
      </c>
      <c r="AB10" s="3" t="inlineStr">
        <is>
          <t>P</t>
        </is>
      </c>
      <c r="AC10" s="3" t="inlineStr">
        <is>
          <t>P</t>
        </is>
      </c>
      <c r="AD10" s="12" t="n"/>
      <c r="AE10" s="12" t="n"/>
      <c r="AF10" s="12" t="n"/>
      <c r="AG10" s="12" t="n"/>
      <c r="AH10" s="3">
        <f>COUNTIF(C10:AG10, "L")</f>
        <v/>
      </c>
      <c r="AI10" s="3">
        <f>COUNTIF(C10:AG10, "P")</f>
        <v/>
      </c>
      <c r="AJ10" s="3">
        <f>COUNTIF(C10:AG10, "CT")</f>
        <v/>
      </c>
    </row>
    <row r="11" ht="28" customHeight="1">
      <c r="A11" s="3" t="n">
        <v>6</v>
      </c>
      <c r="B11" s="11" t="inlineStr">
        <is>
          <t>JUJUN JUNAEDI
NIPP : 69699</t>
        </is>
      </c>
      <c r="C11" s="12" t="n"/>
      <c r="D11" s="3" t="inlineStr">
        <is>
          <t>P</t>
        </is>
      </c>
      <c r="E11" s="3" t="inlineStr">
        <is>
          <t>P</t>
        </is>
      </c>
      <c r="F11" s="3" t="inlineStr">
        <is>
          <t>P</t>
        </is>
      </c>
      <c r="G11" s="3" t="inlineStr">
        <is>
          <t>P</t>
        </is>
      </c>
      <c r="H11" s="3" t="inlineStr">
        <is>
          <t>P</t>
        </is>
      </c>
      <c r="I11" s="3" t="inlineStr">
        <is>
          <t>P</t>
        </is>
      </c>
      <c r="J11" s="3" t="inlineStr">
        <is>
          <t>P</t>
        </is>
      </c>
      <c r="K11" s="12" t="n"/>
      <c r="L11" s="3" t="inlineStr">
        <is>
          <t>P</t>
        </is>
      </c>
      <c r="M11" s="3" t="inlineStr">
        <is>
          <t>P</t>
        </is>
      </c>
      <c r="N11" s="12" t="n"/>
      <c r="O11" s="12" t="n"/>
      <c r="P11" s="12" t="n"/>
      <c r="Q11" s="12" t="n"/>
      <c r="R11" s="12" t="n"/>
      <c r="S11" s="3" t="inlineStr">
        <is>
          <t>P</t>
        </is>
      </c>
      <c r="T11" s="3" t="inlineStr">
        <is>
          <t>P</t>
        </is>
      </c>
      <c r="U11" s="3" t="inlineStr">
        <is>
          <t>P</t>
        </is>
      </c>
      <c r="V11" s="3" t="inlineStr">
        <is>
          <t>P</t>
        </is>
      </c>
      <c r="W11" s="12" t="n"/>
      <c r="X11" s="3" t="inlineStr">
        <is>
          <t>P</t>
        </is>
      </c>
      <c r="Y11" s="12" t="n"/>
      <c r="Z11" s="3" t="inlineStr">
        <is>
          <t>P</t>
        </is>
      </c>
      <c r="AA11" s="12" t="n"/>
      <c r="AB11" s="3" t="inlineStr">
        <is>
          <t>P</t>
        </is>
      </c>
      <c r="AC11" s="12" t="n"/>
      <c r="AD11" s="3" t="inlineStr">
        <is>
          <t>P</t>
        </is>
      </c>
      <c r="AE11" s="3" t="inlineStr">
        <is>
          <t>P</t>
        </is>
      </c>
      <c r="AF11" s="12" t="n"/>
      <c r="AG11" s="12" t="n"/>
      <c r="AH11" s="3">
        <f>COUNTIF(C11:AG11, "L")</f>
        <v/>
      </c>
      <c r="AI11" s="3">
        <f>COUNTIF(C11:AG11, "P")</f>
        <v/>
      </c>
      <c r="AJ11" s="3">
        <f>COUNTIF(C11:AG11, "CT")</f>
        <v/>
      </c>
    </row>
    <row r="12" ht="28" customHeight="1">
      <c r="A12" s="3" t="n">
        <v>7</v>
      </c>
      <c r="B12" s="11" t="inlineStr">
        <is>
          <t>DIKA ARMANSYAH
NIPP : 72347</t>
        </is>
      </c>
      <c r="C12" s="3" t="inlineStr">
        <is>
          <t>P</t>
        </is>
      </c>
      <c r="D12" s="12" t="n"/>
      <c r="E12" s="3" t="inlineStr">
        <is>
          <t>P</t>
        </is>
      </c>
      <c r="F12" s="12" t="n"/>
      <c r="G12" s="3" t="inlineStr">
        <is>
          <t>P</t>
        </is>
      </c>
      <c r="H12" s="12" t="n"/>
      <c r="I12" s="3" t="inlineStr">
        <is>
          <t>P</t>
        </is>
      </c>
      <c r="J12" s="3" t="inlineStr">
        <is>
          <t>P</t>
        </is>
      </c>
      <c r="K12" s="3" t="inlineStr">
        <is>
          <t>P</t>
        </is>
      </c>
      <c r="L12" s="3" t="inlineStr">
        <is>
          <t>P</t>
        </is>
      </c>
      <c r="M12" s="3" t="inlineStr">
        <is>
          <t>P</t>
        </is>
      </c>
      <c r="N12" s="3" t="inlineStr">
        <is>
          <t>P</t>
        </is>
      </c>
      <c r="O12" s="12" t="n"/>
      <c r="P12" s="12" t="n"/>
      <c r="Q12" s="3" t="inlineStr">
        <is>
          <t>P</t>
        </is>
      </c>
      <c r="R12" s="3" t="inlineStr">
        <is>
          <t>P</t>
        </is>
      </c>
      <c r="S12" s="12" t="n"/>
      <c r="T12" s="3" t="inlineStr">
        <is>
          <t>P</t>
        </is>
      </c>
      <c r="U12" s="12" t="n"/>
      <c r="V12" s="3" t="inlineStr">
        <is>
          <t>P</t>
        </is>
      </c>
      <c r="W12" s="3" t="inlineStr">
        <is>
          <t>P</t>
        </is>
      </c>
      <c r="X12" s="3" t="inlineStr">
        <is>
          <t>P</t>
        </is>
      </c>
      <c r="Y12" s="3" t="inlineStr">
        <is>
          <t>P</t>
        </is>
      </c>
      <c r="Z12" s="3" t="inlineStr">
        <is>
          <t>P</t>
        </is>
      </c>
      <c r="AA12" s="3" t="inlineStr">
        <is>
          <t>P</t>
        </is>
      </c>
      <c r="AB12" s="3" t="inlineStr">
        <is>
          <t>P</t>
        </is>
      </c>
      <c r="AC12" s="3" t="inlineStr">
        <is>
          <t>P</t>
        </is>
      </c>
      <c r="AD12" s="12" t="n"/>
      <c r="AE12" s="3" t="inlineStr">
        <is>
          <t>P</t>
        </is>
      </c>
      <c r="AF12" s="12" t="n"/>
      <c r="AG12" s="12" t="n"/>
      <c r="AH12" s="3">
        <f>COUNTIF(C12:AG12, "L")</f>
        <v/>
      </c>
      <c r="AI12" s="3">
        <f>COUNTIF(C12:AG12, "P")</f>
        <v/>
      </c>
      <c r="AJ12" s="3">
        <f>COUNTIF(C12:AG12, "CT")</f>
        <v/>
      </c>
    </row>
    <row r="13" ht="10" customHeight="1"/>
    <row r="14" ht="18" customHeight="1">
      <c r="B14" s="13" t="inlineStr">
        <is>
          <t>S</t>
        </is>
      </c>
      <c r="C14" s="14">
        <f>COUNTIF(C6:C12, "S")</f>
        <v/>
      </c>
      <c r="D14" s="14">
        <f>COUNTIF(D6:D12, "S")</f>
        <v/>
      </c>
      <c r="E14" s="14">
        <f>COUNTIF(E6:E12, "S")</f>
        <v/>
      </c>
      <c r="F14" s="14">
        <f>COUNTIF(F6:F12, "S")</f>
        <v/>
      </c>
      <c r="G14" s="14">
        <f>COUNTIF(G6:G12, "S")</f>
        <v/>
      </c>
      <c r="H14" s="14">
        <f>COUNTIF(H6:H12, "S")</f>
        <v/>
      </c>
      <c r="I14" s="14">
        <f>COUNTIF(I6:I12, "S")</f>
        <v/>
      </c>
      <c r="J14" s="14">
        <f>COUNTIF(J6:J12, "S")</f>
        <v/>
      </c>
      <c r="K14" s="14">
        <f>COUNTIF(K6:K12, "S")</f>
        <v/>
      </c>
      <c r="L14" s="14">
        <f>COUNTIF(L6:L12, "S")</f>
        <v/>
      </c>
      <c r="M14" s="14">
        <f>COUNTIF(M6:M12, "S")</f>
        <v/>
      </c>
      <c r="N14" s="14">
        <f>COUNTIF(N6:N12, "S")</f>
        <v/>
      </c>
      <c r="O14" s="14">
        <f>COUNTIF(O6:O12, "S")</f>
        <v/>
      </c>
      <c r="P14" s="14">
        <f>COUNTIF(P6:P12, "S")</f>
        <v/>
      </c>
      <c r="Q14" s="14">
        <f>COUNTIF(Q6:Q12, "S")</f>
        <v/>
      </c>
      <c r="R14" s="14">
        <f>COUNTIF(R6:R12, "S")</f>
        <v/>
      </c>
      <c r="S14" s="14">
        <f>COUNTIF(S6:S12, "S")</f>
        <v/>
      </c>
      <c r="T14" s="14">
        <f>COUNTIF(T6:T12, "S")</f>
        <v/>
      </c>
      <c r="U14" s="14">
        <f>COUNTIF(U6:U12, "S")</f>
        <v/>
      </c>
      <c r="V14" s="14">
        <f>COUNTIF(V6:V12, "S")</f>
        <v/>
      </c>
      <c r="W14" s="14">
        <f>COUNTIF(W6:W12, "S")</f>
        <v/>
      </c>
      <c r="X14" s="14">
        <f>COUNTIF(X6:X12, "S")</f>
        <v/>
      </c>
      <c r="Y14" s="14">
        <f>COUNTIF(Y6:Y12, "S")</f>
        <v/>
      </c>
      <c r="Z14" s="14">
        <f>COUNTIF(Z6:Z12, "S")</f>
        <v/>
      </c>
      <c r="AA14" s="14">
        <f>COUNTIF(AA6:AA12, "S")</f>
        <v/>
      </c>
      <c r="AB14" s="14">
        <f>COUNTIF(AB6:AB12, "S")</f>
        <v/>
      </c>
      <c r="AC14" s="14">
        <f>COUNTIF(AC6:AC12, "S")</f>
        <v/>
      </c>
      <c r="AD14" s="14">
        <f>COUNTIF(AD6:AD12, "S")</f>
        <v/>
      </c>
      <c r="AE14" s="14">
        <f>COUNTIF(AE6:AE12, "S")</f>
        <v/>
      </c>
      <c r="AF14" s="14">
        <f>COUNTIF(AF6:AF12, "S")</f>
        <v/>
      </c>
      <c r="AG14" s="14">
        <f>COUNTIF(AG6:AG12, "S")</f>
        <v/>
      </c>
      <c r="AH14" s="3">
        <f>SUM(C14:AG14)</f>
        <v/>
      </c>
    </row>
    <row r="15" ht="18" customHeight="1">
      <c r="B15" s="13" t="inlineStr">
        <is>
          <t>M</t>
        </is>
      </c>
      <c r="C15" s="14">
        <f>COUNTIF(C6:C12, "M")</f>
        <v/>
      </c>
      <c r="D15" s="14">
        <f>COUNTIF(D6:D12, "M")</f>
        <v/>
      </c>
      <c r="E15" s="14">
        <f>COUNTIF(E6:E12, "M")</f>
        <v/>
      </c>
      <c r="F15" s="14">
        <f>COUNTIF(F6:F12, "M")</f>
        <v/>
      </c>
      <c r="G15" s="14">
        <f>COUNTIF(G6:G12, "M")</f>
        <v/>
      </c>
      <c r="H15" s="14">
        <f>COUNTIF(H6:H12, "M")</f>
        <v/>
      </c>
      <c r="I15" s="14">
        <f>COUNTIF(I6:I12, "M")</f>
        <v/>
      </c>
      <c r="J15" s="14">
        <f>COUNTIF(J6:J12, "M")</f>
        <v/>
      </c>
      <c r="K15" s="14">
        <f>COUNTIF(K6:K12, "M")</f>
        <v/>
      </c>
      <c r="L15" s="14">
        <f>COUNTIF(L6:L12, "M")</f>
        <v/>
      </c>
      <c r="M15" s="14">
        <f>COUNTIF(M6:M12, "M")</f>
        <v/>
      </c>
      <c r="N15" s="14">
        <f>COUNTIF(N6:N12, "M")</f>
        <v/>
      </c>
      <c r="O15" s="14">
        <f>COUNTIF(O6:O12, "M")</f>
        <v/>
      </c>
      <c r="P15" s="14">
        <f>COUNTIF(P6:P12, "M")</f>
        <v/>
      </c>
      <c r="Q15" s="14">
        <f>COUNTIF(Q6:Q12, "M")</f>
        <v/>
      </c>
      <c r="R15" s="14">
        <f>COUNTIF(R6:R12, "M")</f>
        <v/>
      </c>
      <c r="S15" s="14">
        <f>COUNTIF(S6:S12, "M")</f>
        <v/>
      </c>
      <c r="T15" s="14">
        <f>COUNTIF(T6:T12, "M")</f>
        <v/>
      </c>
      <c r="U15" s="14">
        <f>COUNTIF(U6:U12, "M")</f>
        <v/>
      </c>
      <c r="V15" s="14">
        <f>COUNTIF(V6:V12, "M")</f>
        <v/>
      </c>
      <c r="W15" s="14">
        <f>COUNTIF(W6:W12, "M")</f>
        <v/>
      </c>
      <c r="X15" s="14">
        <f>COUNTIF(X6:X12, "M")</f>
        <v/>
      </c>
      <c r="Y15" s="14">
        <f>COUNTIF(Y6:Y12, "M")</f>
        <v/>
      </c>
      <c r="Z15" s="14">
        <f>COUNTIF(Z6:Z12, "M")</f>
        <v/>
      </c>
      <c r="AA15" s="14">
        <f>COUNTIF(AA6:AA12, "M")</f>
        <v/>
      </c>
      <c r="AB15" s="14">
        <f>COUNTIF(AB6:AB12, "M")</f>
        <v/>
      </c>
      <c r="AC15" s="14">
        <f>COUNTIF(AC6:AC12, "M")</f>
        <v/>
      </c>
      <c r="AD15" s="14">
        <f>COUNTIF(AD6:AD12, "M")</f>
        <v/>
      </c>
      <c r="AE15" s="14">
        <f>COUNTIF(AE6:AE12, "M")</f>
        <v/>
      </c>
      <c r="AF15" s="14">
        <f>COUNTIF(AF6:AF12, "M")</f>
        <v/>
      </c>
      <c r="AG15" s="14">
        <f>COUNTIF(AG6:AG12, "M")</f>
        <v/>
      </c>
      <c r="AH15" s="3">
        <f>SUM(C15:AG15)</f>
        <v/>
      </c>
    </row>
    <row r="16" ht="18" customHeight="1">
      <c r="B16" s="13" t="inlineStr">
        <is>
          <t>L</t>
        </is>
      </c>
      <c r="C16" s="14">
        <f>COUNTIF(C6:C12, "L")</f>
        <v/>
      </c>
      <c r="D16" s="14">
        <f>COUNTIF(D6:D12, "L")</f>
        <v/>
      </c>
      <c r="E16" s="14">
        <f>COUNTIF(E6:E12, "L")</f>
        <v/>
      </c>
      <c r="F16" s="14">
        <f>COUNTIF(F6:F12, "L")</f>
        <v/>
      </c>
      <c r="G16" s="14">
        <f>COUNTIF(G6:G12, "L")</f>
        <v/>
      </c>
      <c r="H16" s="14">
        <f>COUNTIF(H6:H12, "L")</f>
        <v/>
      </c>
      <c r="I16" s="14">
        <f>COUNTIF(I6:I12, "L")</f>
        <v/>
      </c>
      <c r="J16" s="14">
        <f>COUNTIF(J6:J12, "L")</f>
        <v/>
      </c>
      <c r="K16" s="14">
        <f>COUNTIF(K6:K12, "L")</f>
        <v/>
      </c>
      <c r="L16" s="14">
        <f>COUNTIF(L6:L12, "L")</f>
        <v/>
      </c>
      <c r="M16" s="14">
        <f>COUNTIF(M6:M12, "L")</f>
        <v/>
      </c>
      <c r="N16" s="14">
        <f>COUNTIF(N6:N12, "L")</f>
        <v/>
      </c>
      <c r="O16" s="14">
        <f>COUNTIF(O6:O12, "L")</f>
        <v/>
      </c>
      <c r="P16" s="14">
        <f>COUNTIF(P6:P12, "L")</f>
        <v/>
      </c>
      <c r="Q16" s="14">
        <f>COUNTIF(Q6:Q12, "L")</f>
        <v/>
      </c>
      <c r="R16" s="14">
        <f>COUNTIF(R6:R12, "L")</f>
        <v/>
      </c>
      <c r="S16" s="14">
        <f>COUNTIF(S6:S12, "L")</f>
        <v/>
      </c>
      <c r="T16" s="14">
        <f>COUNTIF(T6:T12, "L")</f>
        <v/>
      </c>
      <c r="U16" s="14">
        <f>COUNTIF(U6:U12, "L")</f>
        <v/>
      </c>
      <c r="V16" s="14">
        <f>COUNTIF(V6:V12, "L")</f>
        <v/>
      </c>
      <c r="W16" s="14">
        <f>COUNTIF(W6:W12, "L")</f>
        <v/>
      </c>
      <c r="X16" s="14">
        <f>COUNTIF(X6:X12, "L")</f>
        <v/>
      </c>
      <c r="Y16" s="14">
        <f>COUNTIF(Y6:Y12, "L")</f>
        <v/>
      </c>
      <c r="Z16" s="14">
        <f>COUNTIF(Z6:Z12, "L")</f>
        <v/>
      </c>
      <c r="AA16" s="14">
        <f>COUNTIF(AA6:AA12, "L")</f>
        <v/>
      </c>
      <c r="AB16" s="14">
        <f>COUNTIF(AB6:AB12, "L")</f>
        <v/>
      </c>
      <c r="AC16" s="14">
        <f>COUNTIF(AC6:AC12, "L")</f>
        <v/>
      </c>
      <c r="AD16" s="14">
        <f>COUNTIF(AD6:AD12, "L")</f>
        <v/>
      </c>
      <c r="AE16" s="14">
        <f>COUNTIF(AE6:AE12, "L")</f>
        <v/>
      </c>
      <c r="AF16" s="14">
        <f>COUNTIF(AF6:AF12, "L")</f>
        <v/>
      </c>
      <c r="AG16" s="14">
        <f>COUNTIF(AG6:AG12, "L")</f>
        <v/>
      </c>
      <c r="AH16" s="8">
        <f>SUM(C16:AG16)</f>
        <v/>
      </c>
    </row>
    <row r="17" ht="18" customHeight="1">
      <c r="B17" s="13" t="inlineStr">
        <is>
          <t>P(PNC)</t>
        </is>
      </c>
      <c r="C17" s="14">
        <f>COUNTIF(C9:C12, "P")</f>
        <v/>
      </c>
      <c r="D17" s="14">
        <f>COUNTIF(D9:D12, "P")</f>
        <v/>
      </c>
      <c r="E17" s="14">
        <f>COUNTIF(E9:E12, "P")</f>
        <v/>
      </c>
      <c r="F17" s="14">
        <f>COUNTIF(F9:F12, "P")</f>
        <v/>
      </c>
      <c r="G17" s="14">
        <f>COUNTIF(G9:G12, "P")</f>
        <v/>
      </c>
      <c r="H17" s="14">
        <f>COUNTIF(H9:H12, "P")</f>
        <v/>
      </c>
      <c r="I17" s="14">
        <f>COUNTIF(I9:I12, "P")</f>
        <v/>
      </c>
      <c r="J17" s="14">
        <f>COUNTIF(J9:J12, "P")</f>
        <v/>
      </c>
      <c r="K17" s="14">
        <f>COUNTIF(K9:K12, "P")</f>
        <v/>
      </c>
      <c r="L17" s="14">
        <f>COUNTIF(L9:L12, "P")</f>
        <v/>
      </c>
      <c r="M17" s="14">
        <f>COUNTIF(M9:M12, "P")</f>
        <v/>
      </c>
      <c r="N17" s="14">
        <f>COUNTIF(N9:N12, "P")</f>
        <v/>
      </c>
      <c r="O17" s="14">
        <f>COUNTIF(O9:O12, "P")</f>
        <v/>
      </c>
      <c r="P17" s="14">
        <f>COUNTIF(P9:P12, "P")</f>
        <v/>
      </c>
      <c r="Q17" s="14">
        <f>COUNTIF(Q9:Q12, "P")</f>
        <v/>
      </c>
      <c r="R17" s="14">
        <f>COUNTIF(R9:R12, "P")</f>
        <v/>
      </c>
      <c r="S17" s="14">
        <f>COUNTIF(S9:S12, "P")</f>
        <v/>
      </c>
      <c r="T17" s="14">
        <f>COUNTIF(T9:T12, "P")</f>
        <v/>
      </c>
      <c r="U17" s="14">
        <f>COUNTIF(U9:U12, "P")</f>
        <v/>
      </c>
      <c r="V17" s="14">
        <f>COUNTIF(V9:V12, "P")</f>
        <v/>
      </c>
      <c r="W17" s="14">
        <f>COUNTIF(W9:W12, "P")</f>
        <v/>
      </c>
      <c r="X17" s="14">
        <f>COUNTIF(X9:X12, "P")</f>
        <v/>
      </c>
      <c r="Y17" s="14">
        <f>COUNTIF(Y9:Y12, "P")</f>
        <v/>
      </c>
      <c r="Z17" s="14">
        <f>COUNTIF(Z9:Z12, "P")</f>
        <v/>
      </c>
      <c r="AA17" s="14">
        <f>COUNTIF(AA9:AA12, "P")</f>
        <v/>
      </c>
      <c r="AB17" s="14">
        <f>COUNTIF(AB9:AB12, "P")</f>
        <v/>
      </c>
      <c r="AC17" s="14">
        <f>COUNTIF(AC9:AC12, "P")</f>
        <v/>
      </c>
      <c r="AD17" s="14">
        <f>COUNTIF(AD9:AD12, "P")</f>
        <v/>
      </c>
      <c r="AE17" s="14">
        <f>COUNTIF(AE9:AE12, "P")</f>
        <v/>
      </c>
      <c r="AF17" s="14">
        <f>COUNTIF(AF9:AF12, "P")</f>
        <v/>
      </c>
      <c r="AG17" s="14">
        <f>COUNTIF(AG9:AG12, "P")</f>
        <v/>
      </c>
    </row>
    <row r="18" ht="18" customHeight="1">
      <c r="B18" s="13" t="inlineStr">
        <is>
          <t>P(ALL)</t>
        </is>
      </c>
      <c r="C18" s="14">
        <f>COUNTIF(C6:C12, "P")</f>
        <v/>
      </c>
      <c r="D18" s="14">
        <f>COUNTIF(D6:D12, "P")</f>
        <v/>
      </c>
      <c r="E18" s="14">
        <f>COUNTIF(E6:E12, "P")</f>
        <v/>
      </c>
      <c r="F18" s="14">
        <f>COUNTIF(F6:F12, "P")</f>
        <v/>
      </c>
      <c r="G18" s="14">
        <f>COUNTIF(G6:G12, "P")</f>
        <v/>
      </c>
      <c r="H18" s="14">
        <f>COUNTIF(H6:H12, "P")</f>
        <v/>
      </c>
      <c r="I18" s="14">
        <f>COUNTIF(I6:I12, "P")</f>
        <v/>
      </c>
      <c r="J18" s="14">
        <f>COUNTIF(J6:J12, "P")</f>
        <v/>
      </c>
      <c r="K18" s="14">
        <f>COUNTIF(K6:K12, "P")</f>
        <v/>
      </c>
      <c r="L18" s="14">
        <f>COUNTIF(L6:L12, "P")</f>
        <v/>
      </c>
      <c r="M18" s="14">
        <f>COUNTIF(M6:M12, "P")</f>
        <v/>
      </c>
      <c r="N18" s="14">
        <f>COUNTIF(N6:N12, "P")</f>
        <v/>
      </c>
      <c r="O18" s="14">
        <f>COUNTIF(O6:O12, "P")</f>
        <v/>
      </c>
      <c r="P18" s="14">
        <f>COUNTIF(P6:P12, "P")</f>
        <v/>
      </c>
      <c r="Q18" s="14">
        <f>COUNTIF(Q6:Q12, "P")</f>
        <v/>
      </c>
      <c r="R18" s="14">
        <f>COUNTIF(R6:R12, "P")</f>
        <v/>
      </c>
      <c r="S18" s="14">
        <f>COUNTIF(S6:S12, "P")</f>
        <v/>
      </c>
      <c r="T18" s="14">
        <f>COUNTIF(T6:T12, "P")</f>
        <v/>
      </c>
      <c r="U18" s="14">
        <f>COUNTIF(U6:U12, "P")</f>
        <v/>
      </c>
      <c r="V18" s="14">
        <f>COUNTIF(V6:V12, "P")</f>
        <v/>
      </c>
      <c r="W18" s="14">
        <f>COUNTIF(W6:W12, "P")</f>
        <v/>
      </c>
      <c r="X18" s="14">
        <f>COUNTIF(X6:X12, "P")</f>
        <v/>
      </c>
      <c r="Y18" s="14">
        <f>COUNTIF(Y6:Y12, "P")</f>
        <v/>
      </c>
      <c r="Z18" s="14">
        <f>COUNTIF(Z6:Z12, "P")</f>
        <v/>
      </c>
      <c r="AA18" s="14">
        <f>COUNTIF(AA6:AA12, "P")</f>
        <v/>
      </c>
      <c r="AB18" s="14">
        <f>COUNTIF(AB6:AB12, "P")</f>
        <v/>
      </c>
      <c r="AC18" s="14">
        <f>COUNTIF(AC6:AC12, "P")</f>
        <v/>
      </c>
      <c r="AD18" s="14">
        <f>COUNTIF(AD6:AD12, "P")</f>
        <v/>
      </c>
      <c r="AE18" s="14">
        <f>COUNTIF(AE6:AE12, "P")</f>
        <v/>
      </c>
      <c r="AF18" s="14">
        <f>COUNTIF(AF6:AF12, "P")</f>
        <v/>
      </c>
      <c r="AG18" s="14">
        <f>COUNTIF(AG6:AG12, "P")</f>
        <v/>
      </c>
    </row>
    <row r="21">
      <c r="B21" s="15" t="inlineStr">
        <is>
          <t>KETERANGAN :</t>
        </is>
      </c>
      <c r="AA21" s="15" t="inlineStr">
        <is>
          <t>KUPT RESOR STL 1.21 BOGOR</t>
        </is>
      </c>
    </row>
    <row r="22">
      <c r="B22" s="16" t="inlineStr">
        <is>
          <t>P :  Dinas Pagi mulai jam 08:00 s.d jam 16:00 (Pemeliharaan dan Perbaikan gangguan)</t>
        </is>
      </c>
    </row>
    <row r="23">
      <c r="B23" s="16" t="inlineStr">
        <is>
          <t>S :  Dinas Siang mulai jam 16:00 s.d jam 24:00 (Piket dan Perbaikan gangguan)</t>
        </is>
      </c>
    </row>
    <row r="24">
      <c r="B24" s="16" t="inlineStr">
        <is>
          <t>M :  Dinas Malam mulai jam 24:00 s.d jam 08:00 (Piket dan Perbaikan gangguan)</t>
        </is>
      </c>
    </row>
    <row r="25">
      <c r="B25" s="16" t="inlineStr">
        <is>
          <t>L :  Libur dinas</t>
        </is>
      </c>
      <c r="AA25" s="15" t="inlineStr">
        <is>
          <t>FURQON SUSILO WARDOYO</t>
        </is>
      </c>
    </row>
    <row r="26">
      <c r="B26" s="16" t="inlineStr">
        <is>
          <t>CT : Cuti Tahunan</t>
        </is>
      </c>
      <c r="AA26" s="15" t="inlineStr">
        <is>
          <t>NIPP : 64465</t>
        </is>
      </c>
    </row>
  </sheetData>
  <mergeCells count="9">
    <mergeCell ref="A3:A5"/>
    <mergeCell ref="AI4:AI5"/>
    <mergeCell ref="A2:AJ2"/>
    <mergeCell ref="AH4:AH5"/>
    <mergeCell ref="B3:B5"/>
    <mergeCell ref="AJ4:AJ5"/>
    <mergeCell ref="AH3:AJ3"/>
    <mergeCell ref="C3:AG3"/>
    <mergeCell ref="A1:AJ1"/>
  </mergeCells>
  <conditionalFormatting sqref="C6:AG12">
    <cfRule type="cellIs" priority="1" operator="equal" dxfId="0" stopIfTrue="1">
      <formula>"L"</formula>
    </cfRule>
    <cfRule type="cellIs" priority="2" operator="equal" dxfId="1" stopIfTrue="1">
      <formula>"S"</formula>
    </cfRule>
    <cfRule type="cellIs" priority="3" operator="equal" dxfId="2" stopIfTrue="1">
      <formula>"M"</formula>
    </cfRule>
    <cfRule type="cellIs" priority="4" operator="equal" dxfId="3" stopIfTrue="1">
      <formula>"CT"</formula>
    </cfRule>
    <cfRule type="cellIs" priority="5" operator="equal" dxfId="4" stopIfTrue="1">
      <formula>"P"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2026-09-01T17:06:40Z</dcterms:created>
  <dcterms:modified xmlns:dcterms="http://purl.org/dc/terms/" xmlns:xsi="http://www.w3.org/2001/XMLSchema-instance" xsi:type="dcterms:W3CDTF">2026-09-01T17:06:40Z</dcterms:modified>
</cp:coreProperties>
</file>